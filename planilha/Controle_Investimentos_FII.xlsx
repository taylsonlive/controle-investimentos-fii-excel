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cuments\projetos\Criando uma Ferramenta de Controle de Investimentos com Excel\outputs\revisao-fii-20260913\"/>
    </mc:Choice>
  </mc:AlternateContent>
  <xr:revisionPtr revIDLastSave="0" documentId="13_ncr:1_{DF6E8837-6A82-4824-BB6D-45EBC83F7181}" xr6:coauthVersionLast="47" xr6:coauthVersionMax="47" xr10:uidLastSave="{00000000-0000-0000-0000-000000000000}"/>
  <bookViews>
    <workbookView xWindow="4215" yWindow="2115" windowWidth="21600" windowHeight="11295" xr2:uid="{00000000-000D-0000-FFFF-FFFF00000000}"/>
  </bookViews>
  <sheets>
    <sheet name="Simulador" sheetId="1" r:id="rId1"/>
    <sheet name="Perfis" sheetId="2" r:id="rId2"/>
    <sheet name="Ajustes" sheetId="3" r:id="rId3"/>
    <sheet name="Conferências" sheetId="4" r:id="rId4"/>
  </sheets>
  <definedNames>
    <definedName name="_xlnm._FilterDatabase" localSheetId="1" hidden="1">Perfis!$A$2:$D$20</definedName>
    <definedName name="aporte">Simulador!$D$17</definedName>
    <definedName name="_xlnm.Print_Area" localSheetId="2">Ajustes!$A$1:$E$30</definedName>
    <definedName name="_xlnm.Print_Area" localSheetId="3">Conferências!$A$1:$F$25</definedName>
    <definedName name="_xlnm.Print_Area" localSheetId="1">Perfis!$A$1:$D$32</definedName>
    <definedName name="_xlnm.Print_Area" localSheetId="0">Simulador!$A$1:$E$66</definedName>
    <definedName name="capital_inicial">Ajustes!$B$7</definedName>
    <definedName name="limite_anos">Ajustes!$B$9</definedName>
    <definedName name="meses_ano">Ajustes!$B$6</definedName>
    <definedName name="momento_aporte">Ajustes!$B$8</definedName>
    <definedName name="patrimonio">Simulador!$D$20</definedName>
    <definedName name="percentual_sugerido">Ajustes!$B$5</definedName>
    <definedName name="perfis">Perfis!$B$25:$B$27</definedName>
    <definedName name="qtd_anos">Simulador!$D$18</definedName>
    <definedName name="rendimento_carteira">Simulador!$D$13</definedName>
    <definedName name="salario">Simulador!$D$12</definedName>
    <definedName name="sugestao_investimento">Simulador!$D$14</definedName>
    <definedName name="taxa_mensal">Simulador!$D$19</definedName>
    <definedName name="tolerancia">Ajustes!$B$10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C20" i="4"/>
  <c r="B20" i="4"/>
  <c r="D20" i="4" s="1"/>
  <c r="F20" i="4" s="1"/>
  <c r="E19" i="4"/>
  <c r="C19" i="4"/>
  <c r="B19" i="4"/>
  <c r="E18" i="4"/>
  <c r="C18" i="4"/>
  <c r="B18" i="4"/>
  <c r="D18" i="4" s="1"/>
  <c r="F18" i="4" s="1"/>
  <c r="E17" i="4"/>
  <c r="C17" i="4"/>
  <c r="B17" i="4"/>
  <c r="E16" i="4"/>
  <c r="C16" i="4"/>
  <c r="B16" i="4"/>
  <c r="D16" i="4" s="1"/>
  <c r="F16" i="4" s="1"/>
  <c r="E15" i="4"/>
  <c r="C15" i="4"/>
  <c r="B15" i="4"/>
  <c r="E14" i="4"/>
  <c r="E13" i="4"/>
  <c r="E12" i="4"/>
  <c r="C12" i="4"/>
  <c r="E11" i="4"/>
  <c r="C11" i="4"/>
  <c r="E10" i="4"/>
  <c r="C10" i="4"/>
  <c r="C9" i="4"/>
  <c r="C8" i="4"/>
  <c r="C7" i="4"/>
  <c r="C6" i="4"/>
  <c r="C27" i="2"/>
  <c r="D27" i="2" s="1"/>
  <c r="C26" i="2"/>
  <c r="B7" i="4" s="1"/>
  <c r="D7" i="4" s="1"/>
  <c r="F7" i="4" s="1"/>
  <c r="C25" i="2"/>
  <c r="D25" i="2" s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/>
  <c r="D29" i="1"/>
  <c r="B12" i="4" s="1"/>
  <c r="C28" i="1"/>
  <c r="D28" i="1" s="1"/>
  <c r="C27" i="1"/>
  <c r="D27" i="1" s="1"/>
  <c r="C26" i="1"/>
  <c r="D26" i="1" s="1"/>
  <c r="C25" i="1"/>
  <c r="D25" i="1" s="1"/>
  <c r="C24" i="1"/>
  <c r="D24" i="1" s="1"/>
  <c r="D20" i="1"/>
  <c r="B11" i="4" s="1"/>
  <c r="D14" i="1"/>
  <c r="D17" i="4" l="1"/>
  <c r="F17" i="4" s="1"/>
  <c r="C37" i="1"/>
  <c r="D37" i="1" s="1"/>
  <c r="D15" i="4"/>
  <c r="F15" i="4" s="1"/>
  <c r="D19" i="4"/>
  <c r="F19" i="4" s="1"/>
  <c r="C36" i="1"/>
  <c r="D36" i="1" s="1"/>
  <c r="D12" i="4"/>
  <c r="F12" i="4" s="1"/>
  <c r="C41" i="1"/>
  <c r="D41" i="1" s="1"/>
  <c r="D11" i="4"/>
  <c r="F11" i="4" s="1"/>
  <c r="B6" i="4"/>
  <c r="D6" i="4" s="1"/>
  <c r="F6" i="4" s="1"/>
  <c r="C38" i="1"/>
  <c r="D38" i="1" s="1"/>
  <c r="C14" i="4"/>
  <c r="C39" i="1"/>
  <c r="D39" i="1" s="1"/>
  <c r="D26" i="2"/>
  <c r="B8" i="4"/>
  <c r="D8" i="4" s="1"/>
  <c r="F8" i="4" s="1"/>
  <c r="C40" i="1"/>
  <c r="D40" i="1" s="1"/>
  <c r="D21" i="1"/>
  <c r="B14" i="4" s="1"/>
  <c r="D30" i="1"/>
  <c r="C13" i="4" s="1"/>
  <c r="B13" i="4"/>
  <c r="D14" i="4" l="1"/>
  <c r="F14" i="4" s="1"/>
  <c r="D42" i="1"/>
  <c r="B10" i="4" s="1"/>
  <c r="D10" i="4" s="1"/>
  <c r="F10" i="4" s="1"/>
  <c r="C42" i="1"/>
  <c r="B9" i="4" s="1"/>
  <c r="D9" i="4" s="1"/>
  <c r="F9" i="4" s="1"/>
  <c r="D13" i="4"/>
  <c r="F13" i="4" s="1"/>
  <c r="B3" i="4" l="1"/>
  <c r="D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Salário mensal. Serve apenas para calcular a sugestão de aporte. Exemplo inicial do desafio DIO: R$ 2.000.</t>
        </r>
      </text>
    </comment>
    <comment ref="D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Taxa usada para estimar os dividendos de um mês sobre o patrimônio final. Exemplo DIO: 0,60% ao mês.</t>
        </r>
      </text>
    </comment>
    <comment ref="D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Salário multiplicado pelo percentual da aba Ajustes. A sugestão não altera o aporte que você preencheu.</t>
        </r>
      </text>
    </comment>
    <comment ref="D1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Quanto você pretende investir por mês. Esse é o valor usado nos cálculos. Exemplo DIO: R$ 200.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Prazo da simulação em anos inteiros. Exemplo inicial do desafio DIO: 5 anos.</t>
        </r>
      </text>
    </comment>
    <comment ref="D1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Taxa hipotética do desafio DIO: 1,079% ao mês. Digitar 1,08% muda um pouco os resultados.</t>
        </r>
      </text>
    </comment>
    <comment ref="D2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Calculado com VF: capital inicial e aportes mensais acumulados pela taxa informada. O capital inicial e o momento do aporte ficam em Ajustes.</t>
        </r>
      </text>
    </comment>
    <comment ref="D2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Patrimônio final vezes a taxa de dividendos. É a estimativa de um mês ao final do prazo, não a soma de todos os dividendos do período.</t>
        </r>
      </text>
    </comment>
    <comment ref="C3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Escolha um dos perfis do exercício da DIO. A distribuição muda; a taxa de acumulação continua a mesma.</t>
        </r>
      </text>
    </comment>
    <comment ref="D4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Distribui o aporte por percentual, sem calcular quantidades de cotas. O arredondamento dos valores exibidos pode gerar uma diferença de centavos na soma.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5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19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  <comment ref="D20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Percentual do exercício da DIO. Pode ser editado, mantendo a soma do perfil em 100%.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Usado na sugestão sobre o salário. O aporte mensal é preenchido por você.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Converte o prazo em anos para meses. Mantenha em 12.</t>
        </r>
      </text>
    </comment>
    <comment ref="B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Quanto você já tem investido ao começar a simulação.</t>
        </r>
      </text>
    </comment>
    <comment ref="B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0 = fim do mês; 1 = início do mês.</t>
        </r>
      </text>
    </comment>
    <comment ref="B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 planilha aceita simulações de até 50 anos.</t>
        </r>
      </text>
    </comment>
    <comment ref="B1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Aceita diferenças de até um centavo entre os cálculos. Mantenha em R$ 0,01.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Refaz o cálculo sem usar VF para comparar os resultados. Quando a taxa é zero, soma o capital inicial e os aportes do período.</t>
        </r>
      </text>
    </comment>
  </commentList>
</comments>
</file>

<file path=xl/sharedStrings.xml><?xml version="1.0" encoding="utf-8"?>
<sst xmlns="http://schemas.openxmlformats.org/spreadsheetml/2006/main" count="137" uniqueCount="97">
  <si>
    <t>Simulador de FIIs</t>
  </si>
  <si>
    <t>Seus dados</t>
  </si>
  <si>
    <t>Salário mensal</t>
  </si>
  <si>
    <t>Taxa mensal de dividendos</t>
  </si>
  <si>
    <t>Sugestão de aporte</t>
  </si>
  <si>
    <t>Sua simulação</t>
  </si>
  <si>
    <t>Quanto investir por mês?</t>
  </si>
  <si>
    <t>Prazo em anos</t>
  </si>
  <si>
    <t>Taxa mensal de acumulação</t>
  </si>
  <si>
    <t>Patrimônio acumulado</t>
  </si>
  <si>
    <t>Dividendos mensais estimados</t>
  </si>
  <si>
    <t>Prazo</t>
  </si>
  <si>
    <t>Patrimônio</t>
  </si>
  <si>
    <t>Dividendo mensal</t>
  </si>
  <si>
    <t>Quanto foi investido</t>
  </si>
  <si>
    <t>Rendimentos no período</t>
  </si>
  <si>
    <t>Perfil escolhido</t>
  </si>
  <si>
    <t>Moderado</t>
  </si>
  <si>
    <t>Aporte mensal</t>
  </si>
  <si>
    <t>Tipo de FII</t>
  </si>
  <si>
    <t>Percentual</t>
  </si>
  <si>
    <t>Aporte por mês</t>
  </si>
  <si>
    <t>PAPEL</t>
  </si>
  <si>
    <t>TIJOLO</t>
  </si>
  <si>
    <t>HÍBRIDOS</t>
  </si>
  <si>
    <t>FOFs</t>
  </si>
  <si>
    <t>DESENVOLVIMENTO</t>
  </si>
  <si>
    <t>HOTELARIAS</t>
  </si>
  <si>
    <t>Total do aporte</t>
  </si>
  <si>
    <t>Conferência dos dados</t>
  </si>
  <si>
    <t>Resultado das conferências</t>
  </si>
  <si>
    <t>Preencha os campos amarelos. Os valores estão em reais (R$).</t>
  </si>
  <si>
    <t>Se aparecer REVISAR, abra a aba Conferências.</t>
  </si>
  <si>
    <t>Exercício com taxas constantes. Os resultados não garantem retorno.</t>
  </si>
  <si>
    <t>Chave de busca</t>
  </si>
  <si>
    <t>Perfil</t>
  </si>
  <si>
    <t>Conservador</t>
  </si>
  <si>
    <t>Agressivo</t>
  </si>
  <si>
    <t>Cada perfil deve somar 100%</t>
  </si>
  <si>
    <t>Soma</t>
  </si>
  <si>
    <t>Conferência</t>
  </si>
  <si>
    <t>Percentuais do desafio DIO. Para testar outra divisão, edite as células amarelas e confira os totais acima.</t>
  </si>
  <si>
    <t>Ajustes e como usar</t>
  </si>
  <si>
    <t>Ajuste</t>
  </si>
  <si>
    <t>Valor</t>
  </si>
  <si>
    <t>Para que serve</t>
  </si>
  <si>
    <t>Percentual para sugerir o aporte</t>
  </si>
  <si>
    <t>Usado na sugestão sobre o salário. O aporte mensal é preenchido por você.</t>
  </si>
  <si>
    <t>Meses por ano</t>
  </si>
  <si>
    <t>Converte o prazo em anos para meses. Mantenha em 12.</t>
  </si>
  <si>
    <t>Capital inicial</t>
  </si>
  <si>
    <t>Quanto você já tem investido ao começar a simulação.</t>
  </si>
  <si>
    <t>Momento do aporte</t>
  </si>
  <si>
    <t>0 = fim do mês; 1 = início do mês.</t>
  </si>
  <si>
    <t>Limite de prazo</t>
  </si>
  <si>
    <t>A planilha aceita simulações de até 50 anos.</t>
  </si>
  <si>
    <t>Margem nas conferências</t>
  </si>
  <si>
    <t>Aceita diferenças de até um centavo entre os cálculos. Mantenha em R$ 0,01.</t>
  </si>
  <si>
    <t>Por onde começar</t>
  </si>
  <si>
    <t>1. Abra o Simulador e preencha os campos amarelos com salário, aporte, prazo e taxas mensais.</t>
  </si>
  <si>
    <t>2. Escolha o perfil para ver a divisão do aporte. Se quiser mudar os percentuais, use a aba Perfis.</t>
  </si>
  <si>
    <t>3. Compare os prazos e veja quanto do patrimônio vem do dinheiro investido e quanto vem dos rendimentos.</t>
  </si>
  <si>
    <t>4. Confira o resultado no fim do painel. Se aparecer REVISAR, a aba Conferências indica o que precisa de ajuste.</t>
  </si>
  <si>
    <t>A taxa de acumulação projeta o patrimônio. A taxa de dividendos estima a renda mensal sobre o valor final.</t>
  </si>
  <si>
    <t>Trocar o perfil muda a divisão do aporte. Para comparar outro rendimento, altere também a taxa de acumulação.</t>
  </si>
  <si>
    <t>Antes de comparar os resultados</t>
  </si>
  <si>
    <t>Amarelo com texto azul: campos para preencher. Preto: fórmulas. Verde: fórmulas que consultam outra aba.</t>
  </si>
  <si>
    <t>A simulação usa taxas e aportes fixos. Não considera inflação, impostos, custos, variação no preço das cotas ou compra de cotas inteiras. Os perfis são exemplos do exercício, não recomendações de investimento.</t>
  </si>
  <si>
    <t>Sobre o projeto e as fórmulas</t>
  </si>
  <si>
    <t>Projeto do desafio de Excel da DIO, com taxas e perfis do exercício. A planilha não consulta cotações.</t>
  </si>
  <si>
    <t>FV/VF - Microsoft: https://support.microsoft.com/en-us/excel/functions/fv-function</t>
  </si>
  <si>
    <t>PROCV - Microsoft: https://support.microsoft.com/pt-br/excel/functions/vlookup-function</t>
  </si>
  <si>
    <t>Validação de dados - Microsoft: https://support.microsoft.com/pt-br/excel/get-started/apply-data-validation-to-cells</t>
  </si>
  <si>
    <t>Conferência dos cálculos</t>
  </si>
  <si>
    <t>Resultado geral</t>
  </si>
  <si>
    <t>O que foi conferido</t>
  </si>
  <si>
    <t>Na planilha</t>
  </si>
  <si>
    <t>Esperado</t>
  </si>
  <si>
    <t>Diferença</t>
  </si>
  <si>
    <t>Margem</t>
  </si>
  <si>
    <t>Resultado</t>
  </si>
  <si>
    <t>Soma do perfil Conservador</t>
  </si>
  <si>
    <t>Soma do perfil Moderado</t>
  </si>
  <si>
    <t>Soma do perfil Agressivo</t>
  </si>
  <si>
    <t>Percentuais do perfil escolhido</t>
  </si>
  <si>
    <t>Distribuição do aporte mensal</t>
  </si>
  <si>
    <t>Patrimônio calculado de outra forma</t>
  </si>
  <si>
    <t>Capital inicial e aportes</t>
  </si>
  <si>
    <t>Investido + rendimentos = patrimônio</t>
  </si>
  <si>
    <t>Dividendo mensal estimado</t>
  </si>
  <si>
    <t>Campos numéricos preenchidos</t>
  </si>
  <si>
    <t>Perfil escolhido na lista</t>
  </si>
  <si>
    <t>Prazo em anos inteiros</t>
  </si>
  <si>
    <t>Taxas dentro dos limites</t>
  </si>
  <si>
    <t>Valores e ajustes dentro dos limites</t>
  </si>
  <si>
    <t>Percentuais entre 0% e 100%</t>
  </si>
  <si>
    <t>Se alguma linha mostrar REVISAR, confira os valores em Simulador, Perfis e Ajustes. A coluna Margem mostra a diferença aceita em cada conta. Um resultado OK confirma as contas, não o retorno do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</si>
</sst>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;[Red]\(&quot;R$&quot;\ #,##0.00\);&quot;R$&quot;\ 0.00"/>
    <numFmt numFmtId="165" formatCode="0&quot; anos&quot;"/>
    <numFmt numFmtId="166" formatCode="0.00%;[Red]\(0.00%\);0.00%"/>
    <numFmt numFmtId="167" formatCode="0.000%"/>
    <numFmt numFmtId="168" formatCode="0.########"/>
  </numFmts>
  <fonts count="18" x14ac:knownFonts="1">
    <font>
      <sz val="11"/>
      <color theme="1"/>
      <name val="Calibri"/>
      <family val="2"/>
      <scheme val="minor"/>
    </font>
    <font>
      <sz val="11"/>
      <name val="Segoe UI"/>
    </font>
    <font>
      <b/>
      <sz val="28"/>
      <color rgb="FFFFFFFF"/>
      <name val="Segoe UI"/>
    </font>
    <font>
      <b/>
      <sz val="14"/>
      <color rgb="FFFFFFFF"/>
      <name val="Segoe UI"/>
    </font>
    <font>
      <sz val="11"/>
      <color rgb="FFFFFFFF"/>
      <name val="Segoe UI"/>
    </font>
    <font>
      <b/>
      <sz val="11"/>
      <name val="Segoe UI"/>
    </font>
    <font>
      <sz val="11"/>
      <color rgb="FF008000"/>
      <name val="Segoe UI"/>
    </font>
    <font>
      <sz val="11"/>
      <color rgb="FF0000FF"/>
      <name val="Segoe UI"/>
    </font>
    <font>
      <b/>
      <sz val="12"/>
      <color rgb="FFFFFFFF"/>
      <name val="Segoe UI"/>
    </font>
    <font>
      <b/>
      <sz val="11"/>
      <color rgb="FF008000"/>
      <name val="Segoe UI"/>
    </font>
    <font>
      <sz val="10"/>
      <color rgb="FF595959"/>
      <name val="Segoe UI"/>
    </font>
    <font>
      <sz val="11"/>
      <color rgb="FF000000"/>
      <name val="Segoe UI"/>
    </font>
    <font>
      <b/>
      <sz val="13"/>
      <color rgb="FFFFFFFF"/>
      <name val="Segoe UI"/>
    </font>
    <font>
      <b/>
      <sz val="16"/>
      <color rgb="FFFFFFFF"/>
      <name val="Segoe UI"/>
    </font>
    <font>
      <b/>
      <sz val="11"/>
      <color rgb="FFFFFFFF"/>
      <name val="Segoe UI"/>
    </font>
    <font>
      <b/>
      <sz val="11"/>
      <color rgb="FF000000"/>
      <name val="Segoe UI"/>
    </font>
    <font>
      <sz val="11"/>
      <color rgb="FF000000"/>
      <name val="Calibri"/>
      <family val="2"/>
      <scheme val="minor"/>
    </font>
    <font>
      <b/>
      <sz val="14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73D41"/>
      </patternFill>
    </fill>
    <fill>
      <patternFill patternType="solid">
        <fgColor rgb="FFFFC000"/>
      </patternFill>
    </fill>
    <fill>
      <patternFill patternType="solid">
        <fgColor rgb="FF196B24"/>
      </patternFill>
    </fill>
    <fill>
      <patternFill patternType="solid">
        <fgColor rgb="FFF2F4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C5CAC7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164" fontId="7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 vertical="center"/>
    </xf>
    <xf numFmtId="1" fontId="7" fillId="6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165" fontId="1" fillId="5" borderId="0" xfId="0" applyNumberFormat="1" applyFont="1" applyFill="1" applyAlignment="1">
      <alignment horizontal="left" vertical="center"/>
    </xf>
    <xf numFmtId="164" fontId="11" fillId="5" borderId="0" xfId="0" applyNumberFormat="1" applyFont="1" applyFill="1" applyAlignment="1">
      <alignment horizontal="right" vertical="center"/>
    </xf>
    <xf numFmtId="164" fontId="15" fillId="7" borderId="0" xfId="0" applyNumberFormat="1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164" fontId="11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9" fontId="6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9" fontId="15" fillId="5" borderId="0" xfId="0" applyNumberFormat="1" applyFont="1" applyFill="1" applyAlignment="1">
      <alignment vertical="center"/>
    </xf>
    <xf numFmtId="164" fontId="15" fillId="5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0" applyFont="1" applyFill="1"/>
    <xf numFmtId="0" fontId="11" fillId="8" borderId="0" xfId="0" applyFont="1" applyFill="1"/>
    <xf numFmtId="9" fontId="7" fillId="6" borderId="0" xfId="0" applyNumberFormat="1" applyFont="1" applyFill="1" applyAlignment="1">
      <alignment horizontal="right" vertical="center"/>
    </xf>
    <xf numFmtId="0" fontId="11" fillId="5" borderId="0" xfId="0" applyFont="1" applyFill="1"/>
    <xf numFmtId="10" fontId="16" fillId="0" borderId="0" xfId="0" applyNumberFormat="1" applyFont="1"/>
    <xf numFmtId="0" fontId="16" fillId="0" borderId="0" xfId="0" applyFont="1"/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64" fontId="7" fillId="6" borderId="0" xfId="0" applyNumberFormat="1" applyFont="1" applyFill="1" applyAlignment="1">
      <alignment horizontal="right" vertical="center"/>
    </xf>
    <xf numFmtId="1" fontId="7" fillId="6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10" fontId="6" fillId="5" borderId="0" xfId="0" applyNumberFormat="1" applyFont="1" applyFill="1" applyAlignment="1">
      <alignment horizontal="right" vertical="center"/>
    </xf>
    <xf numFmtId="10" fontId="11" fillId="5" borderId="0" xfId="0" applyNumberFormat="1" applyFont="1" applyFill="1" applyAlignment="1">
      <alignment horizontal="right" vertical="center"/>
    </xf>
    <xf numFmtId="168" fontId="1" fillId="5" borderId="0" xfId="0" applyNumberFormat="1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10" fontId="6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164" fontId="6" fillId="5" borderId="0" xfId="0" applyNumberFormat="1" applyFont="1" applyFill="1" applyAlignment="1">
      <alignment horizontal="right" vertical="center"/>
    </xf>
    <xf numFmtId="168" fontId="11" fillId="5" borderId="0" xfId="0" applyNumberFormat="1" applyFont="1" applyFill="1" applyAlignment="1">
      <alignment vertical="center" wrapText="1"/>
    </xf>
    <xf numFmtId="164" fontId="11" fillId="0" borderId="0" xfId="0" applyNumberFormat="1" applyFont="1" applyAlignment="1">
      <alignment horizontal="right" vertical="center"/>
    </xf>
    <xf numFmtId="168" fontId="11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1" fontId="6" fillId="5" borderId="0" xfId="0" applyNumberFormat="1" applyFont="1" applyFill="1" applyAlignment="1">
      <alignment horizontal="right" vertical="center"/>
    </xf>
    <xf numFmtId="1" fontId="11" fillId="5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0" xfId="0" applyFont="1" applyFill="1" applyAlignment="1">
      <alignment vertical="center"/>
    </xf>
    <xf numFmtId="0" fontId="0" fillId="4" borderId="0" xfId="0" applyFill="1"/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0" fillId="5" borderId="1" xfId="0" applyFill="1" applyBorder="1"/>
    <xf numFmtId="0" fontId="1" fillId="0" borderId="0" xfId="0" applyFont="1" applyAlignment="1">
      <alignment vertical="center"/>
    </xf>
    <xf numFmtId="0" fontId="0" fillId="0" borderId="0" xfId="0"/>
    <xf numFmtId="0" fontId="1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8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color rgb="FF9C0006"/>
      </font>
      <fill>
        <patternFill patternType="solid">
          <fgColor rgb="FFFCE4D6"/>
        </patternFill>
      </fill>
    </dxf>
    <dxf>
      <font>
        <color rgb="FF196B24"/>
      </font>
      <fill>
        <patternFill patternType="solid">
          <fgColor rgb="FFE2F0D9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196B24"/>
      </font>
      <fill>
        <patternFill patternType="solid">
          <fgColor rgb="FFE2F0D9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196B24"/>
      </font>
      <fill>
        <patternFill patternType="solid">
          <fgColor rgb="FFE2F0D9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196B24"/>
      </font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Como o aporte está dividido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1-4EBA-9CD2-D2C7D81658F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1"/>
          <c:showLeaderLines val="0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612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66"/>
  <sheetViews>
    <sheetView showGridLines="0" tabSelected="1" workbookViewId="0">
      <selection activeCell="D17" sqref="D17"/>
    </sheetView>
  </sheetViews>
  <sheetFormatPr defaultRowHeight="15" x14ac:dyDescent="0.25"/>
  <cols>
    <col min="1" max="1" width="5" customWidth="1"/>
    <col min="2" max="2" width="45" customWidth="1"/>
    <col min="3" max="3" width="24" customWidth="1"/>
    <col min="4" max="4" width="22" customWidth="1"/>
    <col min="5" max="5" width="4" customWidth="1"/>
  </cols>
  <sheetData>
    <row r="1" spans="2:4" ht="16.5" x14ac:dyDescent="0.25">
      <c r="B1" s="1"/>
      <c r="C1" s="1"/>
      <c r="D1" s="1"/>
    </row>
    <row r="2" spans="2:4" ht="16.5" x14ac:dyDescent="0.25">
      <c r="B2" s="1"/>
      <c r="C2" s="1"/>
      <c r="D2" s="1"/>
    </row>
    <row r="3" spans="2:4" ht="29.1" customHeight="1" x14ac:dyDescent="0.25">
      <c r="B3" s="53" t="s">
        <v>0</v>
      </c>
      <c r="C3" s="54"/>
      <c r="D3" s="54"/>
    </row>
    <row r="4" spans="2:4" x14ac:dyDescent="0.25">
      <c r="B4" s="54"/>
      <c r="C4" s="54"/>
      <c r="D4" s="54"/>
    </row>
    <row r="5" spans="2:4" x14ac:dyDescent="0.25">
      <c r="B5" s="54"/>
      <c r="C5" s="54"/>
      <c r="D5" s="54"/>
    </row>
    <row r="6" spans="2:4" x14ac:dyDescent="0.25">
      <c r="B6" s="54"/>
      <c r="C6" s="54"/>
      <c r="D6" s="54"/>
    </row>
    <row r="7" spans="2:4" x14ac:dyDescent="0.25">
      <c r="B7" s="54"/>
      <c r="C7" s="54"/>
      <c r="D7" s="54"/>
    </row>
    <row r="8" spans="2:4" x14ac:dyDescent="0.25">
      <c r="B8" s="54"/>
      <c r="C8" s="54"/>
      <c r="D8" s="54"/>
    </row>
    <row r="9" spans="2:4" ht="16.5" x14ac:dyDescent="0.25">
      <c r="B9" s="1"/>
      <c r="C9" s="1"/>
      <c r="D9" s="1"/>
    </row>
    <row r="10" spans="2:4" ht="16.5" x14ac:dyDescent="0.25">
      <c r="B10" s="1"/>
      <c r="C10" s="1"/>
      <c r="D10" s="1"/>
    </row>
    <row r="11" spans="2:4" ht="29.1" customHeight="1" x14ac:dyDescent="0.25">
      <c r="B11" s="65" t="s">
        <v>1</v>
      </c>
      <c r="C11" s="66"/>
      <c r="D11" s="66"/>
    </row>
    <row r="12" spans="2:4" ht="20.100000000000001" customHeight="1" x14ac:dyDescent="0.25">
      <c r="B12" s="63" t="s">
        <v>2</v>
      </c>
      <c r="C12" s="60"/>
      <c r="D12" s="2">
        <v>2000</v>
      </c>
    </row>
    <row r="13" spans="2:4" ht="20.100000000000001" customHeight="1" x14ac:dyDescent="0.25">
      <c r="B13" s="63" t="s">
        <v>3</v>
      </c>
      <c r="C13" s="60"/>
      <c r="D13" s="3">
        <v>6.0000000000000001E-3</v>
      </c>
    </row>
    <row r="14" spans="2:4" ht="20.100000000000001" customHeight="1" x14ac:dyDescent="0.25">
      <c r="B14" s="63" t="s">
        <v>4</v>
      </c>
      <c r="C14" s="60"/>
      <c r="D14" s="4">
        <f>salario*percentual_sugerido</f>
        <v>600</v>
      </c>
    </row>
    <row r="15" spans="2:4" ht="20.100000000000001" customHeight="1" x14ac:dyDescent="0.25">
      <c r="B15" s="1"/>
      <c r="C15" s="1"/>
      <c r="D15" s="1"/>
    </row>
    <row r="16" spans="2:4" ht="29.1" customHeight="1" x14ac:dyDescent="0.25">
      <c r="B16" s="55" t="s">
        <v>5</v>
      </c>
      <c r="C16" s="56"/>
      <c r="D16" s="56"/>
    </row>
    <row r="17" spans="2:4" ht="20.100000000000001" customHeight="1" x14ac:dyDescent="0.25">
      <c r="B17" s="63" t="s">
        <v>6</v>
      </c>
      <c r="C17" s="60"/>
      <c r="D17" s="2">
        <v>200</v>
      </c>
    </row>
    <row r="18" spans="2:4" ht="20.100000000000001" customHeight="1" x14ac:dyDescent="0.25">
      <c r="B18" s="63" t="s">
        <v>7</v>
      </c>
      <c r="C18" s="60"/>
      <c r="D18" s="5">
        <v>5</v>
      </c>
    </row>
    <row r="19" spans="2:4" ht="20.100000000000001" customHeight="1" x14ac:dyDescent="0.25">
      <c r="B19" s="63" t="s">
        <v>8</v>
      </c>
      <c r="C19" s="60"/>
      <c r="D19" s="6">
        <v>1.0789999999999999E-2</v>
      </c>
    </row>
    <row r="20" spans="2:4" ht="20.100000000000001" customHeight="1" x14ac:dyDescent="0.25">
      <c r="B20" s="59" t="s">
        <v>9</v>
      </c>
      <c r="C20" s="60"/>
      <c r="D20" s="7">
        <f>FV(taxa_mensal,qtd_anos*meses_ano,-aporte,-capital_inicial,momento_aporte)</f>
        <v>16755.382799697527</v>
      </c>
    </row>
    <row r="21" spans="2:4" ht="20.100000000000001" customHeight="1" x14ac:dyDescent="0.25">
      <c r="B21" s="59" t="s">
        <v>10</v>
      </c>
      <c r="C21" s="60"/>
      <c r="D21" s="7">
        <f>patrimonio*rendimento_carteira</f>
        <v>100.53229679818516</v>
      </c>
    </row>
    <row r="22" spans="2:4" ht="20.100000000000001" customHeight="1" x14ac:dyDescent="0.25">
      <c r="B22" s="1"/>
      <c r="C22" s="1"/>
      <c r="D22" s="1"/>
    </row>
    <row r="23" spans="2:4" ht="29.1" customHeight="1" x14ac:dyDescent="0.25">
      <c r="B23" s="55" t="s">
        <v>11</v>
      </c>
      <c r="C23" s="8" t="s">
        <v>12</v>
      </c>
      <c r="D23" s="8" t="s">
        <v>13</v>
      </c>
    </row>
    <row r="24" spans="2:4" ht="20.100000000000001" customHeight="1" x14ac:dyDescent="0.25">
      <c r="B24" s="9">
        <v>2</v>
      </c>
      <c r="C24" s="10">
        <f>FV(taxa_mensal,$B24*meses_ano,-aporte,-capital_inicial,momento_aporte)</f>
        <v>5445.5254595290435</v>
      </c>
      <c r="D24" s="10">
        <f>C24*rendimento_carteira</f>
        <v>32.673152757174265</v>
      </c>
    </row>
    <row r="25" spans="2:4" ht="20.100000000000001" customHeight="1" x14ac:dyDescent="0.25">
      <c r="B25" s="9">
        <v>5</v>
      </c>
      <c r="C25" s="10">
        <f>FV(taxa_mensal,$B25*meses_ano,-aporte,-capital_inicial,momento_aporte)</f>
        <v>16755.382799697527</v>
      </c>
      <c r="D25" s="10">
        <f>C25*rendimento_carteira</f>
        <v>100.53229679818516</v>
      </c>
    </row>
    <row r="26" spans="2:4" ht="20.100000000000001" customHeight="1" x14ac:dyDescent="0.25">
      <c r="B26" s="9">
        <v>10</v>
      </c>
      <c r="C26" s="10">
        <f>FV(taxa_mensal,$B26*meses_ano,-aporte,-capital_inicial,momento_aporte)</f>
        <v>48656.842506034438</v>
      </c>
      <c r="D26" s="10">
        <f>C26*rendimento_carteira</f>
        <v>291.94105503620665</v>
      </c>
    </row>
    <row r="27" spans="2:4" ht="20.100000000000001" customHeight="1" x14ac:dyDescent="0.25">
      <c r="B27" s="9">
        <v>20</v>
      </c>
      <c r="C27" s="10">
        <f>FV(taxa_mensal,$B27*meses_ano,-aporte,-capital_inicial,momento_aporte)</f>
        <v>225039.68001941612</v>
      </c>
      <c r="D27" s="10">
        <f>C27*rendimento_carteira</f>
        <v>1350.2380801164968</v>
      </c>
    </row>
    <row r="28" spans="2:4" ht="20.100000000000001" customHeight="1" x14ac:dyDescent="0.25">
      <c r="B28" s="9">
        <v>30</v>
      </c>
      <c r="C28" s="10">
        <f>FV(taxa_mensal,$B28*meses_ano,-aporte,-capital_inicial,momento_aporte)</f>
        <v>864433.93100094295</v>
      </c>
      <c r="D28" s="10">
        <f>C28*rendimento_carteira</f>
        <v>5186.6035860056581</v>
      </c>
    </row>
    <row r="29" spans="2:4" ht="20.100000000000001" customHeight="1" x14ac:dyDescent="0.25">
      <c r="B29" s="57" t="s">
        <v>14</v>
      </c>
      <c r="C29" s="58"/>
      <c r="D29" s="11">
        <f>capital_inicial+aporte*qtd_anos*meses_ano</f>
        <v>12000</v>
      </c>
    </row>
    <row r="30" spans="2:4" ht="20.100000000000001" customHeight="1" x14ac:dyDescent="0.25">
      <c r="B30" s="57" t="s">
        <v>15</v>
      </c>
      <c r="C30" s="58"/>
      <c r="D30" s="11">
        <f>D20-D29</f>
        <v>4755.3827996975269</v>
      </c>
    </row>
    <row r="31" spans="2:4" ht="20.100000000000001" customHeight="1" x14ac:dyDescent="0.25">
      <c r="B31" s="1"/>
      <c r="C31" s="1"/>
      <c r="D31" s="1"/>
    </row>
    <row r="32" spans="2:4" ht="20.100000000000001" customHeight="1" x14ac:dyDescent="0.25">
      <c r="B32" s="12" t="s">
        <v>16</v>
      </c>
      <c r="C32" s="13" t="s">
        <v>17</v>
      </c>
      <c r="D32" s="12"/>
    </row>
    <row r="33" spans="2:4" ht="20.100000000000001" customHeight="1" x14ac:dyDescent="0.25">
      <c r="B33" s="14" t="s">
        <v>18</v>
      </c>
      <c r="C33" s="15">
        <f>aporte</f>
        <v>200</v>
      </c>
      <c r="D33" s="14"/>
    </row>
    <row r="34" spans="2:4" ht="20.100000000000001" customHeight="1" x14ac:dyDescent="0.25">
      <c r="B34" s="1"/>
      <c r="C34" s="1"/>
      <c r="D34" s="1"/>
    </row>
    <row r="35" spans="2:4" ht="23.1" customHeight="1" x14ac:dyDescent="0.25">
      <c r="B35" s="16" t="s">
        <v>19</v>
      </c>
      <c r="C35" s="16" t="s">
        <v>20</v>
      </c>
      <c r="D35" s="16" t="s">
        <v>21</v>
      </c>
    </row>
    <row r="36" spans="2:4" ht="20.100000000000001" customHeight="1" x14ac:dyDescent="0.25">
      <c r="B36" s="1" t="s">
        <v>22</v>
      </c>
      <c r="C36" s="17">
        <f>VLOOKUP($C$32&amp;"-"&amp;B36,Perfis!$A$3:$D$20,4,FALSE)</f>
        <v>0.32</v>
      </c>
      <c r="D36" s="18">
        <f t="shared" ref="D36:D41" si="0">C36*$C$33</f>
        <v>64</v>
      </c>
    </row>
    <row r="37" spans="2:4" ht="20.100000000000001" customHeight="1" x14ac:dyDescent="0.25">
      <c r="B37" s="1" t="s">
        <v>23</v>
      </c>
      <c r="C37" s="17">
        <f>VLOOKUP($C$32&amp;"-"&amp;B37,Perfis!$A$3:$D$20,4,FALSE)</f>
        <v>0.35</v>
      </c>
      <c r="D37" s="18">
        <f t="shared" si="0"/>
        <v>70</v>
      </c>
    </row>
    <row r="38" spans="2:4" ht="20.100000000000001" customHeight="1" x14ac:dyDescent="0.25">
      <c r="B38" s="1" t="s">
        <v>24</v>
      </c>
      <c r="C38" s="17">
        <f>VLOOKUP($C$32&amp;"-"&amp;B38,Perfis!$A$3:$D$20,4,FALSE)</f>
        <v>0.08</v>
      </c>
      <c r="D38" s="18">
        <f t="shared" si="0"/>
        <v>16</v>
      </c>
    </row>
    <row r="39" spans="2:4" ht="20.100000000000001" customHeight="1" x14ac:dyDescent="0.25">
      <c r="B39" s="1" t="s">
        <v>25</v>
      </c>
      <c r="C39" s="17">
        <f>VLOOKUP($C$32&amp;"-"&amp;B39,Perfis!$A$3:$D$20,4,FALSE)</f>
        <v>0.05</v>
      </c>
      <c r="D39" s="18">
        <f t="shared" si="0"/>
        <v>10</v>
      </c>
    </row>
    <row r="40" spans="2:4" ht="20.100000000000001" customHeight="1" x14ac:dyDescent="0.25">
      <c r="B40" s="1" t="s">
        <v>26</v>
      </c>
      <c r="C40" s="17">
        <f>VLOOKUP($C$32&amp;"-"&amp;B40,Perfis!$A$3:$D$20,4,FALSE)</f>
        <v>0.1</v>
      </c>
      <c r="D40" s="18">
        <f t="shared" si="0"/>
        <v>20</v>
      </c>
    </row>
    <row r="41" spans="2:4" ht="20.100000000000001" customHeight="1" x14ac:dyDescent="0.25">
      <c r="B41" s="1" t="s">
        <v>27</v>
      </c>
      <c r="C41" s="17">
        <f>VLOOKUP($C$32&amp;"-"&amp;B41,Perfis!$A$3:$D$20,4,FALSE)</f>
        <v>0.1</v>
      </c>
      <c r="D41" s="18">
        <f t="shared" si="0"/>
        <v>20</v>
      </c>
    </row>
    <row r="42" spans="2:4" ht="20.100000000000001" customHeight="1" x14ac:dyDescent="0.25">
      <c r="B42" s="16" t="s">
        <v>28</v>
      </c>
      <c r="C42" s="19">
        <f>SUM(C36:C41)</f>
        <v>0.99999999999999989</v>
      </c>
      <c r="D42" s="20">
        <f>SUM(D36:D41)</f>
        <v>200</v>
      </c>
    </row>
    <row r="43" spans="2:4" ht="16.5" x14ac:dyDescent="0.25">
      <c r="B43" s="1"/>
      <c r="C43" s="1"/>
      <c r="D43" s="1"/>
    </row>
    <row r="44" spans="2:4" ht="15" customHeight="1" x14ac:dyDescent="0.25">
      <c r="B44" s="1"/>
      <c r="C44" s="1"/>
      <c r="D44" s="1"/>
    </row>
    <row r="45" spans="2:4" ht="15" customHeight="1" x14ac:dyDescent="0.25">
      <c r="B45" s="1"/>
      <c r="C45" s="1"/>
      <c r="D45" s="1"/>
    </row>
    <row r="46" spans="2:4" ht="15" customHeight="1" x14ac:dyDescent="0.25">
      <c r="B46" s="1"/>
      <c r="C46" s="1"/>
      <c r="D46" s="1"/>
    </row>
    <row r="47" spans="2:4" ht="15" customHeight="1" x14ac:dyDescent="0.25">
      <c r="B47" s="1"/>
      <c r="C47" s="1"/>
      <c r="D47" s="1"/>
    </row>
    <row r="48" spans="2:4" ht="15" customHeight="1" x14ac:dyDescent="0.25">
      <c r="B48" s="1"/>
      <c r="C48" s="1"/>
      <c r="D48" s="1"/>
    </row>
    <row r="49" spans="2:4" ht="15" customHeight="1" x14ac:dyDescent="0.25">
      <c r="B49" s="1"/>
      <c r="C49" s="1"/>
      <c r="D49" s="1"/>
    </row>
    <row r="50" spans="2:4" ht="15" customHeight="1" x14ac:dyDescent="0.25">
      <c r="B50" s="1"/>
      <c r="C50" s="1"/>
      <c r="D50" s="1"/>
    </row>
    <row r="51" spans="2:4" ht="15" customHeight="1" x14ac:dyDescent="0.25">
      <c r="B51" s="1"/>
      <c r="C51" s="1"/>
      <c r="D51" s="1"/>
    </row>
    <row r="52" spans="2:4" ht="15" customHeight="1" x14ac:dyDescent="0.25">
      <c r="B52" s="1"/>
      <c r="C52" s="1"/>
      <c r="D52" s="1"/>
    </row>
    <row r="53" spans="2:4" ht="15" customHeight="1" x14ac:dyDescent="0.25">
      <c r="B53" s="1"/>
      <c r="C53" s="1"/>
      <c r="D53" s="1"/>
    </row>
    <row r="54" spans="2:4" ht="15" customHeight="1" x14ac:dyDescent="0.25">
      <c r="B54" s="1"/>
      <c r="C54" s="1"/>
      <c r="D54" s="1"/>
    </row>
    <row r="55" spans="2:4" ht="15" customHeight="1" x14ac:dyDescent="0.25">
      <c r="B55" s="1"/>
      <c r="C55" s="1"/>
      <c r="D55" s="1"/>
    </row>
    <row r="56" spans="2:4" ht="15" customHeight="1" x14ac:dyDescent="0.25">
      <c r="B56" s="1"/>
      <c r="C56" s="1"/>
      <c r="D56" s="1"/>
    </row>
    <row r="57" spans="2:4" ht="15" customHeight="1" x14ac:dyDescent="0.25">
      <c r="B57" s="1"/>
      <c r="C57" s="1"/>
      <c r="D57" s="1"/>
    </row>
    <row r="58" spans="2:4" ht="15" customHeight="1" x14ac:dyDescent="0.25">
      <c r="B58" s="1"/>
      <c r="C58" s="1"/>
      <c r="D58" s="1"/>
    </row>
    <row r="59" spans="2:4" ht="15" customHeight="1" x14ac:dyDescent="0.25">
      <c r="B59" s="1"/>
      <c r="C59" s="1"/>
      <c r="D59" s="1"/>
    </row>
    <row r="60" spans="2:4" ht="29.1" customHeight="1" x14ac:dyDescent="0.25">
      <c r="B60" s="67" t="s">
        <v>29</v>
      </c>
      <c r="C60" s="56"/>
      <c r="D60" s="56"/>
    </row>
    <row r="61" spans="2:4" ht="16.5" x14ac:dyDescent="0.25">
      <c r="B61" s="61" t="s">
        <v>30</v>
      </c>
      <c r="C61" s="62"/>
      <c r="D61" s="21" t="str">
        <f>Conferências!B3</f>
        <v>OK</v>
      </c>
    </row>
    <row r="62" spans="2:4" ht="16.5" x14ac:dyDescent="0.25">
      <c r="B62" s="1"/>
      <c r="C62" s="1"/>
      <c r="D62" s="1"/>
    </row>
    <row r="63" spans="2:4" ht="18" customHeight="1" x14ac:dyDescent="0.25">
      <c r="B63" s="64" t="s">
        <v>31</v>
      </c>
      <c r="C63" s="62"/>
      <c r="D63" s="62"/>
    </row>
    <row r="64" spans="2:4" ht="18" customHeight="1" x14ac:dyDescent="0.25">
      <c r="B64" s="64" t="s">
        <v>32</v>
      </c>
      <c r="C64" s="62"/>
      <c r="D64" s="62"/>
    </row>
    <row r="65" spans="2:4" ht="18" customHeight="1" x14ac:dyDescent="0.25">
      <c r="B65" s="64" t="s">
        <v>33</v>
      </c>
      <c r="C65" s="62"/>
      <c r="D65" s="62"/>
    </row>
    <row r="66" spans="2:4" ht="16.5" x14ac:dyDescent="0.25">
      <c r="B66" s="1"/>
      <c r="C66" s="1"/>
      <c r="D66" s="1"/>
    </row>
  </sheetData>
  <mergeCells count="19">
    <mergeCell ref="B61:C61"/>
    <mergeCell ref="B14:C14"/>
    <mergeCell ref="B65:D65"/>
    <mergeCell ref="B17:C17"/>
    <mergeCell ref="B64:D64"/>
    <mergeCell ref="B29:C29"/>
    <mergeCell ref="B63:D63"/>
    <mergeCell ref="B19:C19"/>
    <mergeCell ref="B60:D60"/>
    <mergeCell ref="B18:C18"/>
    <mergeCell ref="B21:C21"/>
    <mergeCell ref="B3:D8"/>
    <mergeCell ref="B16:D16"/>
    <mergeCell ref="B23"/>
    <mergeCell ref="B30:C30"/>
    <mergeCell ref="B20:C20"/>
    <mergeCell ref="B11:D11"/>
    <mergeCell ref="B12:C12"/>
    <mergeCell ref="B13:C13"/>
  </mergeCells>
  <conditionalFormatting sqref="D61">
    <cfRule type="cellIs" dxfId="7" priority="1" operator="equal">
      <formula>"OK"</formula>
    </cfRule>
    <cfRule type="cellIs" dxfId="6" priority="2" operator="equal">
      <formula>"REVISAR"</formula>
    </cfRule>
  </conditionalFormatting>
  <dataValidations count="6">
    <dataValidation type="list" showInputMessage="1" showErrorMessage="1" errorTitle="Confira o valor informado" error="Selecione Conservador, Moderado ou Agressivo." promptTitle="Como preencher" prompt="Selecione Conservador, Moderado ou Agressivo." sqref="C32" xr:uid="{00000000-0002-0000-0000-000000000000}">
      <formula1>perfis</formula1>
    </dataValidation>
    <dataValidation type="decimal" showInputMessage="1" showErrorMessage="1" errorTitle="Confira o valor informado" error="Salário entre zero e R$ 100 milhões." promptTitle="Como preencher" prompt="Salário entre zero e R$ 100 milhões." sqref="D12" xr:uid="{00000000-0002-0000-0000-000001000000}">
      <formula1>0</formula1>
      <formula2>100000000</formula2>
    </dataValidation>
    <dataValidation type="decimal" showInputMessage="1" showErrorMessage="1" errorTitle="Confira o valor informado" error="Aporte mensal entre zero e R$ 1 milhão." promptTitle="Como preencher" prompt="Aporte mensal entre zero e R$ 1 milhão." sqref="D17" xr:uid="{00000000-0002-0000-0000-000002000000}">
      <formula1>0</formula1>
      <formula2>1000000</formula2>
    </dataValidation>
    <dataValidation type="decimal" showInputMessage="1" showErrorMessage="1" errorTitle="Confira o valor informado" error="Taxa mensal de dividendos entre 0% e 100%." promptTitle="Como preencher" prompt="Taxa mensal de dividendos entre 0% e 100%." sqref="D13" xr:uid="{00000000-0002-0000-0000-000003000000}">
      <formula1>0</formula1>
      <formula2>1</formula2>
    </dataValidation>
    <dataValidation type="whole" showInputMessage="1" showErrorMessage="1" errorTitle="Confira o valor informado" error="Use anos inteiros. O limite está na aba Ajustes." promptTitle="Como preencher" prompt="Use anos inteiros. O limite está na aba Ajustes." sqref="D18" xr:uid="{00000000-0002-0000-0000-000004000000}">
      <formula1>0</formula1>
      <formula2>limite_anos</formula2>
    </dataValidation>
    <dataValidation type="decimal" showInputMessage="1" showErrorMessage="1" errorTitle="Confira o valor informado" error="Informe uma taxa mensal entre -99% e 100%, incluindo o sinal %." promptTitle="Como preencher" prompt="Informe uma taxa mensal entre -99% e 100%, incluindo o sinal %." sqref="D19" xr:uid="{00000000-0002-0000-0000-000005000000}">
      <formula1>-0.99</formula1>
      <formula2>1</formula2>
    </dataValidation>
  </dataValidations>
  <printOptions horizontalCentered="1"/>
  <pageMargins left="0.3" right="0.3" top="0.35" bottom="0.35" header="0.5" footer="0.5"/>
  <pageSetup paperSize="9" orientation="portrait"/>
  <headerFooter>
    <oddFooter>&amp;C&amp;8 Simulador de FIIs | Desafio DIO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D31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7" customWidth="1"/>
    <col min="2" max="2" width="19" customWidth="1"/>
    <col min="3" max="3" width="25" customWidth="1"/>
    <col min="4" max="4" width="18" customWidth="1"/>
  </cols>
  <sheetData>
    <row r="2" spans="1:4" ht="24" customHeight="1" x14ac:dyDescent="0.3">
      <c r="A2" s="22" t="s">
        <v>34</v>
      </c>
      <c r="B2" s="22" t="s">
        <v>35</v>
      </c>
      <c r="C2" s="22" t="s">
        <v>19</v>
      </c>
      <c r="D2" s="22" t="s">
        <v>20</v>
      </c>
    </row>
    <row r="3" spans="1:4" ht="21" customHeight="1" x14ac:dyDescent="0.3">
      <c r="A3" s="23" t="str">
        <f t="shared" ref="A3:A20" si="0">B3&amp;"-"&amp;C3</f>
        <v>Conservador-PAPEL</v>
      </c>
      <c r="B3" s="23" t="s">
        <v>36</v>
      </c>
      <c r="C3" s="23" t="s">
        <v>22</v>
      </c>
      <c r="D3" s="24">
        <v>0.3</v>
      </c>
    </row>
    <row r="4" spans="1:4" ht="21" customHeight="1" x14ac:dyDescent="0.3">
      <c r="A4" s="23" t="str">
        <f t="shared" si="0"/>
        <v>Conservador-TIJOLO</v>
      </c>
      <c r="B4" s="23" t="s">
        <v>36</v>
      </c>
      <c r="C4" s="23" t="s">
        <v>23</v>
      </c>
      <c r="D4" s="24">
        <v>0.5</v>
      </c>
    </row>
    <row r="5" spans="1:4" ht="21" customHeight="1" x14ac:dyDescent="0.3">
      <c r="A5" s="23" t="str">
        <f t="shared" si="0"/>
        <v>Conservador-HÍBRIDOS</v>
      </c>
      <c r="B5" s="23" t="s">
        <v>36</v>
      </c>
      <c r="C5" s="23" t="s">
        <v>24</v>
      </c>
      <c r="D5" s="24">
        <v>0.1</v>
      </c>
    </row>
    <row r="6" spans="1:4" ht="21" customHeight="1" x14ac:dyDescent="0.3">
      <c r="A6" s="23" t="str">
        <f t="shared" si="0"/>
        <v>Conservador-FOFs</v>
      </c>
      <c r="B6" s="23" t="s">
        <v>36</v>
      </c>
      <c r="C6" s="23" t="s">
        <v>25</v>
      </c>
      <c r="D6" s="24">
        <v>0.1</v>
      </c>
    </row>
    <row r="7" spans="1:4" ht="21" customHeight="1" x14ac:dyDescent="0.3">
      <c r="A7" s="23" t="str">
        <f t="shared" si="0"/>
        <v>Conservador-DESENVOLVIMENTO</v>
      </c>
      <c r="B7" s="23" t="s">
        <v>36</v>
      </c>
      <c r="C7" s="23" t="s">
        <v>26</v>
      </c>
      <c r="D7" s="24">
        <v>0</v>
      </c>
    </row>
    <row r="8" spans="1:4" ht="21" customHeight="1" x14ac:dyDescent="0.3">
      <c r="A8" s="23" t="str">
        <f t="shared" si="0"/>
        <v>Conservador-HOTELARIAS</v>
      </c>
      <c r="B8" s="23" t="s">
        <v>36</v>
      </c>
      <c r="C8" s="23" t="s">
        <v>27</v>
      </c>
      <c r="D8" s="24">
        <v>0</v>
      </c>
    </row>
    <row r="9" spans="1:4" ht="21" customHeight="1" x14ac:dyDescent="0.3">
      <c r="A9" s="25" t="str">
        <f t="shared" si="0"/>
        <v>Moderado-PAPEL</v>
      </c>
      <c r="B9" s="25" t="s">
        <v>17</v>
      </c>
      <c r="C9" s="25" t="s">
        <v>22</v>
      </c>
      <c r="D9" s="24">
        <v>0.32</v>
      </c>
    </row>
    <row r="10" spans="1:4" ht="21" customHeight="1" x14ac:dyDescent="0.3">
      <c r="A10" s="25" t="str">
        <f t="shared" si="0"/>
        <v>Moderado-TIJOLO</v>
      </c>
      <c r="B10" s="25" t="s">
        <v>17</v>
      </c>
      <c r="C10" s="25" t="s">
        <v>23</v>
      </c>
      <c r="D10" s="24">
        <v>0.35</v>
      </c>
    </row>
    <row r="11" spans="1:4" ht="21" customHeight="1" x14ac:dyDescent="0.3">
      <c r="A11" s="25" t="str">
        <f t="shared" si="0"/>
        <v>Moderado-HÍBRIDOS</v>
      </c>
      <c r="B11" s="25" t="s">
        <v>17</v>
      </c>
      <c r="C11" s="25" t="s">
        <v>24</v>
      </c>
      <c r="D11" s="24">
        <v>0.08</v>
      </c>
    </row>
    <row r="12" spans="1:4" ht="21" customHeight="1" x14ac:dyDescent="0.3">
      <c r="A12" s="25" t="str">
        <f t="shared" si="0"/>
        <v>Moderado-FOFs</v>
      </c>
      <c r="B12" s="25" t="s">
        <v>17</v>
      </c>
      <c r="C12" s="25" t="s">
        <v>25</v>
      </c>
      <c r="D12" s="24">
        <v>0.05</v>
      </c>
    </row>
    <row r="13" spans="1:4" ht="21" customHeight="1" x14ac:dyDescent="0.3">
      <c r="A13" s="25" t="str">
        <f t="shared" si="0"/>
        <v>Moderado-DESENVOLVIMENTO</v>
      </c>
      <c r="B13" s="25" t="s">
        <v>17</v>
      </c>
      <c r="C13" s="25" t="s">
        <v>26</v>
      </c>
      <c r="D13" s="24">
        <v>0.1</v>
      </c>
    </row>
    <row r="14" spans="1:4" ht="21" customHeight="1" x14ac:dyDescent="0.3">
      <c r="A14" s="25" t="str">
        <f t="shared" si="0"/>
        <v>Moderado-HOTELARIAS</v>
      </c>
      <c r="B14" s="25" t="s">
        <v>17</v>
      </c>
      <c r="C14" s="25" t="s">
        <v>27</v>
      </c>
      <c r="D14" s="24">
        <v>0.1</v>
      </c>
    </row>
    <row r="15" spans="1:4" ht="21" customHeight="1" x14ac:dyDescent="0.3">
      <c r="A15" s="23" t="str">
        <f t="shared" si="0"/>
        <v>Agressivo-PAPEL</v>
      </c>
      <c r="B15" s="23" t="s">
        <v>37</v>
      </c>
      <c r="C15" s="23" t="s">
        <v>22</v>
      </c>
      <c r="D15" s="24">
        <v>0.5</v>
      </c>
    </row>
    <row r="16" spans="1:4" ht="21" customHeight="1" x14ac:dyDescent="0.3">
      <c r="A16" s="23" t="str">
        <f t="shared" si="0"/>
        <v>Agressivo-TIJOLO</v>
      </c>
      <c r="B16" s="23" t="s">
        <v>37</v>
      </c>
      <c r="C16" s="23" t="s">
        <v>23</v>
      </c>
      <c r="D16" s="24">
        <v>0.1</v>
      </c>
    </row>
    <row r="17" spans="1:4" ht="21" customHeight="1" x14ac:dyDescent="0.3">
      <c r="A17" s="23" t="str">
        <f t="shared" si="0"/>
        <v>Agressivo-HÍBRIDOS</v>
      </c>
      <c r="B17" s="23" t="s">
        <v>37</v>
      </c>
      <c r="C17" s="23" t="s">
        <v>24</v>
      </c>
      <c r="D17" s="24">
        <v>0.05</v>
      </c>
    </row>
    <row r="18" spans="1:4" ht="21" customHeight="1" x14ac:dyDescent="0.3">
      <c r="A18" s="23" t="str">
        <f t="shared" si="0"/>
        <v>Agressivo-FOFs</v>
      </c>
      <c r="B18" s="23" t="s">
        <v>37</v>
      </c>
      <c r="C18" s="23" t="s">
        <v>25</v>
      </c>
      <c r="D18" s="24">
        <v>0.05</v>
      </c>
    </row>
    <row r="19" spans="1:4" ht="21" customHeight="1" x14ac:dyDescent="0.3">
      <c r="A19" s="23" t="str">
        <f t="shared" si="0"/>
        <v>Agressivo-DESENVOLVIMENTO</v>
      </c>
      <c r="B19" s="23" t="s">
        <v>37</v>
      </c>
      <c r="C19" s="23" t="s">
        <v>26</v>
      </c>
      <c r="D19" s="24">
        <v>0.2</v>
      </c>
    </row>
    <row r="20" spans="1:4" ht="21" customHeight="1" x14ac:dyDescent="0.3">
      <c r="A20" s="23" t="str">
        <f t="shared" si="0"/>
        <v>Agressivo-HOTELARIAS</v>
      </c>
      <c r="B20" s="23" t="s">
        <v>37</v>
      </c>
      <c r="C20" s="23" t="s">
        <v>27</v>
      </c>
      <c r="D20" s="24">
        <v>0.1</v>
      </c>
    </row>
    <row r="23" spans="1:4" ht="29.1" customHeight="1" x14ac:dyDescent="0.25">
      <c r="A23" s="68" t="s">
        <v>38</v>
      </c>
      <c r="B23" s="56"/>
      <c r="C23" s="56"/>
      <c r="D23" s="56"/>
    </row>
    <row r="24" spans="1:4" x14ac:dyDescent="0.25">
      <c r="B24" t="s">
        <v>35</v>
      </c>
      <c r="C24" t="s">
        <v>39</v>
      </c>
      <c r="D24" t="s">
        <v>40</v>
      </c>
    </row>
    <row r="25" spans="1:4" ht="23.1" customHeight="1" x14ac:dyDescent="0.25">
      <c r="B25" t="s">
        <v>36</v>
      </c>
      <c r="C25" s="26">
        <f>SUMIF($B$3:$B$20,B25,$D$3:$D$20)</f>
        <v>1</v>
      </c>
      <c r="D25" s="27" t="str">
        <f>IF(ABS(C25-1)&lt;0.00000001,"OK","REVISAR")</f>
        <v>OK</v>
      </c>
    </row>
    <row r="26" spans="1:4" ht="23.1" customHeight="1" x14ac:dyDescent="0.25">
      <c r="B26" t="s">
        <v>17</v>
      </c>
      <c r="C26" s="26">
        <f>SUMIF($B$3:$B$20,B26,$D$3:$D$20)</f>
        <v>0.99999999999999989</v>
      </c>
      <c r="D26" s="27" t="str">
        <f>IF(ABS(C26-1)&lt;0.00000001,"OK","REVISAR")</f>
        <v>OK</v>
      </c>
    </row>
    <row r="27" spans="1:4" ht="23.1" customHeight="1" x14ac:dyDescent="0.25">
      <c r="B27" t="s">
        <v>37</v>
      </c>
      <c r="C27" s="26">
        <f>SUMIF($B$3:$B$20,B27,$D$3:$D$20)</f>
        <v>1.0000000000000002</v>
      </c>
      <c r="D27" s="27" t="str">
        <f>IF(ABS(C27-1)&lt;0.00000001,"OK","REVISAR")</f>
        <v>OK</v>
      </c>
    </row>
    <row r="30" spans="1:4" x14ac:dyDescent="0.25">
      <c r="A30" s="69" t="s">
        <v>41</v>
      </c>
      <c r="B30" s="62"/>
      <c r="C30" s="62"/>
      <c r="D30" s="62"/>
    </row>
    <row r="31" spans="1:4" x14ac:dyDescent="0.25">
      <c r="A31" s="62"/>
      <c r="B31" s="62"/>
      <c r="C31" s="62"/>
      <c r="D31" s="62"/>
    </row>
  </sheetData>
  <autoFilter ref="A2:D20" xr:uid="{00000000-0009-0000-0000-000001000000}"/>
  <mergeCells count="2">
    <mergeCell ref="A23:D23"/>
    <mergeCell ref="A30:D31"/>
  </mergeCells>
  <conditionalFormatting sqref="D25:D27">
    <cfRule type="cellIs" dxfId="5" priority="1" operator="equal">
      <formula>"OK"</formula>
    </cfRule>
    <cfRule type="cellIs" dxfId="4" priority="2" operator="equal">
      <formula>"REVISAR"</formula>
    </cfRule>
  </conditionalFormatting>
  <dataValidations count="1">
    <dataValidation type="decimal" showInputMessage="1" showErrorMessage="1" errorTitle="Confira o valor informado" error="Percentual entre 0% e 100%. A soma de cada perfil deve ser 100%." promptTitle="Como preencher" prompt="Percentual entre 0% e 100%. A soma de cada perfil deve ser 100%." sqref="D3:D20" xr:uid="{00000000-0002-0000-0100-000000000000}">
      <formula1>0</formula1>
      <formula2>1</formula2>
    </dataValidation>
  </dataValidations>
  <printOptions horizontalCentered="1"/>
  <pageMargins left="0.3" right="0.3" top="0.35" bottom="0.35" header="0.5" footer="0.5"/>
  <pageSetup paperSize="9" orientation="portrait"/>
  <headerFooter>
    <oddFooter>&amp;C&amp;8 Simulador de FIIs | Desafio DIO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9"/>
  <sheetViews>
    <sheetView showGridLines="0" workbookViewId="0"/>
  </sheetViews>
  <sheetFormatPr defaultRowHeight="15" x14ac:dyDescent="0.25"/>
  <cols>
    <col min="1" max="1" width="32" customWidth="1"/>
    <col min="2" max="2" width="18" customWidth="1"/>
    <col min="3" max="5" width="23" customWidth="1"/>
  </cols>
  <sheetData>
    <row r="1" spans="1:5" ht="29.1" customHeight="1" x14ac:dyDescent="0.25">
      <c r="A1" s="70" t="s">
        <v>42</v>
      </c>
      <c r="B1" s="54"/>
      <c r="C1" s="54"/>
      <c r="D1" s="54"/>
      <c r="E1" s="54"/>
    </row>
    <row r="2" spans="1:5" x14ac:dyDescent="0.25">
      <c r="A2" s="54"/>
      <c r="B2" s="54"/>
      <c r="C2" s="54"/>
      <c r="D2" s="54"/>
      <c r="E2" s="54"/>
    </row>
    <row r="3" spans="1:5" ht="16.5" x14ac:dyDescent="0.25">
      <c r="A3" s="28"/>
      <c r="B3" s="28"/>
      <c r="C3" s="28"/>
      <c r="D3" s="28"/>
      <c r="E3" s="28"/>
    </row>
    <row r="4" spans="1:5" ht="16.5" x14ac:dyDescent="0.25">
      <c r="A4" s="28" t="s">
        <v>43</v>
      </c>
      <c r="B4" s="28" t="s">
        <v>44</v>
      </c>
      <c r="C4" s="28" t="s">
        <v>45</v>
      </c>
      <c r="D4" s="28"/>
      <c r="E4" s="28"/>
    </row>
    <row r="5" spans="1:5" ht="35.1" customHeight="1" x14ac:dyDescent="0.25">
      <c r="A5" s="28" t="s">
        <v>46</v>
      </c>
      <c r="B5" s="24">
        <v>0.3</v>
      </c>
      <c r="C5" s="71" t="s">
        <v>47</v>
      </c>
      <c r="D5" s="62"/>
      <c r="E5" s="62"/>
    </row>
    <row r="6" spans="1:5" ht="35.1" customHeight="1" x14ac:dyDescent="0.25">
      <c r="A6" s="28" t="s">
        <v>48</v>
      </c>
      <c r="B6" s="29">
        <v>12</v>
      </c>
      <c r="C6" s="71" t="s">
        <v>49</v>
      </c>
      <c r="D6" s="62"/>
      <c r="E6" s="62"/>
    </row>
    <row r="7" spans="1:5" ht="35.1" customHeight="1" x14ac:dyDescent="0.25">
      <c r="A7" s="28" t="s">
        <v>50</v>
      </c>
      <c r="B7" s="30">
        <v>0</v>
      </c>
      <c r="C7" s="71" t="s">
        <v>51</v>
      </c>
      <c r="D7" s="62"/>
      <c r="E7" s="62"/>
    </row>
    <row r="8" spans="1:5" ht="35.1" customHeight="1" x14ac:dyDescent="0.25">
      <c r="A8" s="28" t="s">
        <v>52</v>
      </c>
      <c r="B8" s="31">
        <v>0</v>
      </c>
      <c r="C8" s="71" t="s">
        <v>53</v>
      </c>
      <c r="D8" s="62"/>
      <c r="E8" s="62"/>
    </row>
    <row r="9" spans="1:5" ht="35.1" customHeight="1" x14ac:dyDescent="0.25">
      <c r="A9" s="28" t="s">
        <v>54</v>
      </c>
      <c r="B9" s="29">
        <v>50</v>
      </c>
      <c r="C9" s="71" t="s">
        <v>55</v>
      </c>
      <c r="D9" s="62"/>
      <c r="E9" s="62"/>
    </row>
    <row r="10" spans="1:5" ht="35.1" customHeight="1" x14ac:dyDescent="0.25">
      <c r="A10" s="28" t="s">
        <v>56</v>
      </c>
      <c r="B10" s="32">
        <v>0.01</v>
      </c>
      <c r="C10" s="71" t="s">
        <v>57</v>
      </c>
      <c r="D10" s="62"/>
      <c r="E10" s="62"/>
    </row>
    <row r="11" spans="1:5" ht="16.5" x14ac:dyDescent="0.25">
      <c r="A11" s="28"/>
      <c r="B11" s="28"/>
      <c r="C11" s="28"/>
      <c r="D11" s="28"/>
      <c r="E11" s="28"/>
    </row>
    <row r="12" spans="1:5" ht="29.1" customHeight="1" x14ac:dyDescent="0.25">
      <c r="A12" s="67" t="s">
        <v>58</v>
      </c>
      <c r="B12" s="56"/>
      <c r="C12" s="56"/>
      <c r="D12" s="56"/>
      <c r="E12" s="56"/>
    </row>
    <row r="13" spans="1:5" ht="33.950000000000003" customHeight="1" x14ac:dyDescent="0.25">
      <c r="A13" s="71" t="s">
        <v>59</v>
      </c>
      <c r="B13" s="62"/>
      <c r="C13" s="62"/>
      <c r="D13" s="62"/>
      <c r="E13" s="62"/>
    </row>
    <row r="14" spans="1:5" ht="33.950000000000003" customHeight="1" x14ac:dyDescent="0.25">
      <c r="A14" s="71" t="s">
        <v>60</v>
      </c>
      <c r="B14" s="62"/>
      <c r="C14" s="62"/>
      <c r="D14" s="62"/>
      <c r="E14" s="62"/>
    </row>
    <row r="15" spans="1:5" ht="33.950000000000003" customHeight="1" x14ac:dyDescent="0.25">
      <c r="A15" s="71" t="s">
        <v>61</v>
      </c>
      <c r="B15" s="62"/>
      <c r="C15" s="62"/>
      <c r="D15" s="62"/>
      <c r="E15" s="62"/>
    </row>
    <row r="16" spans="1:5" ht="33.950000000000003" customHeight="1" x14ac:dyDescent="0.25">
      <c r="A16" s="71" t="s">
        <v>62</v>
      </c>
      <c r="B16" s="62"/>
      <c r="C16" s="62"/>
      <c r="D16" s="62"/>
      <c r="E16" s="62"/>
    </row>
    <row r="17" spans="1:5" ht="33.950000000000003" customHeight="1" x14ac:dyDescent="0.25">
      <c r="A17" s="71" t="s">
        <v>63</v>
      </c>
      <c r="B17" s="62"/>
      <c r="C17" s="62"/>
      <c r="D17" s="62"/>
      <c r="E17" s="62"/>
    </row>
    <row r="18" spans="1:5" ht="33.950000000000003" customHeight="1" x14ac:dyDescent="0.25">
      <c r="A18" s="71" t="s">
        <v>64</v>
      </c>
      <c r="B18" s="62"/>
      <c r="C18" s="62"/>
      <c r="D18" s="62"/>
      <c r="E18" s="62"/>
    </row>
    <row r="19" spans="1:5" ht="16.5" x14ac:dyDescent="0.25">
      <c r="A19" s="28"/>
      <c r="B19" s="28"/>
      <c r="C19" s="28"/>
      <c r="D19" s="28"/>
      <c r="E19" s="28"/>
    </row>
    <row r="20" spans="1:5" ht="29.1" customHeight="1" x14ac:dyDescent="0.25">
      <c r="A20" s="67" t="s">
        <v>65</v>
      </c>
      <c r="B20" s="56"/>
      <c r="C20" s="56"/>
      <c r="D20" s="56"/>
      <c r="E20" s="56"/>
    </row>
    <row r="21" spans="1:5" ht="26.1" customHeight="1" x14ac:dyDescent="0.25">
      <c r="A21" s="71" t="s">
        <v>66</v>
      </c>
      <c r="B21" s="62"/>
      <c r="C21" s="62"/>
      <c r="D21" s="62"/>
      <c r="E21" s="62"/>
    </row>
    <row r="22" spans="1:5" ht="23.1" customHeight="1" x14ac:dyDescent="0.25">
      <c r="A22" s="71" t="s">
        <v>67</v>
      </c>
      <c r="B22" s="62"/>
      <c r="C22" s="62"/>
      <c r="D22" s="62"/>
      <c r="E22" s="62"/>
    </row>
    <row r="23" spans="1:5" ht="23.1" customHeight="1" x14ac:dyDescent="0.25">
      <c r="A23" s="62"/>
      <c r="B23" s="62"/>
      <c r="C23" s="62"/>
      <c r="D23" s="62"/>
      <c r="E23" s="62"/>
    </row>
    <row r="24" spans="1:5" ht="16.5" x14ac:dyDescent="0.25">
      <c r="A24" s="28"/>
      <c r="B24" s="28"/>
      <c r="C24" s="28"/>
      <c r="D24" s="28"/>
      <c r="E24" s="28"/>
    </row>
    <row r="25" spans="1:5" ht="29.1" customHeight="1" x14ac:dyDescent="0.25">
      <c r="A25" s="67" t="s">
        <v>68</v>
      </c>
      <c r="B25" s="56"/>
      <c r="C25" s="56"/>
      <c r="D25" s="56"/>
      <c r="E25" s="56"/>
    </row>
    <row r="26" spans="1:5" ht="35.1" customHeight="1" x14ac:dyDescent="0.25">
      <c r="A26" s="71" t="s">
        <v>69</v>
      </c>
      <c r="B26" s="62"/>
      <c r="C26" s="62"/>
      <c r="D26" s="62"/>
      <c r="E26" s="62"/>
    </row>
    <row r="27" spans="1:5" ht="35.1" customHeight="1" x14ac:dyDescent="0.25">
      <c r="A27" s="71" t="s">
        <v>70</v>
      </c>
      <c r="B27" s="62"/>
      <c r="C27" s="62"/>
      <c r="D27" s="62"/>
      <c r="E27" s="62"/>
    </row>
    <row r="28" spans="1:5" ht="35.1" customHeight="1" x14ac:dyDescent="0.25">
      <c r="A28" s="71" t="s">
        <v>71</v>
      </c>
      <c r="B28" s="62"/>
      <c r="C28" s="62"/>
      <c r="D28" s="62"/>
      <c r="E28" s="62"/>
    </row>
    <row r="29" spans="1:5" ht="35.1" customHeight="1" x14ac:dyDescent="0.25">
      <c r="A29" s="71" t="s">
        <v>72</v>
      </c>
      <c r="B29" s="62"/>
      <c r="C29" s="62"/>
      <c r="D29" s="62"/>
      <c r="E29" s="62"/>
    </row>
    <row r="30" spans="1:5" ht="16.5" x14ac:dyDescent="0.25">
      <c r="A30" s="28"/>
      <c r="B30" s="28"/>
      <c r="C30" s="28"/>
      <c r="D30" s="28"/>
      <c r="E30" s="28"/>
    </row>
    <row r="31" spans="1:5" ht="16.5" x14ac:dyDescent="0.25">
      <c r="A31" s="28"/>
      <c r="B31" s="28"/>
      <c r="C31" s="28"/>
      <c r="D31" s="28"/>
      <c r="E31" s="28"/>
    </row>
    <row r="32" spans="1:5" ht="16.5" x14ac:dyDescent="0.25">
      <c r="A32" s="28"/>
      <c r="B32" s="28"/>
      <c r="C32" s="28"/>
      <c r="D32" s="28"/>
      <c r="E32" s="28"/>
    </row>
    <row r="33" spans="1:5" ht="16.5" x14ac:dyDescent="0.25">
      <c r="A33" s="28"/>
      <c r="B33" s="28"/>
      <c r="C33" s="28"/>
      <c r="D33" s="28"/>
      <c r="E33" s="28"/>
    </row>
    <row r="34" spans="1:5" ht="16.5" x14ac:dyDescent="0.25">
      <c r="A34" s="28"/>
      <c r="B34" s="28"/>
      <c r="C34" s="28"/>
      <c r="D34" s="28"/>
      <c r="E34" s="28"/>
    </row>
    <row r="35" spans="1:5" ht="16.5" x14ac:dyDescent="0.25">
      <c r="A35" s="28"/>
      <c r="B35" s="28"/>
      <c r="C35" s="28"/>
      <c r="D35" s="28"/>
      <c r="E35" s="28"/>
    </row>
    <row r="36" spans="1:5" ht="16.5" x14ac:dyDescent="0.25">
      <c r="A36" s="28"/>
      <c r="B36" s="28"/>
      <c r="C36" s="28"/>
      <c r="D36" s="28"/>
      <c r="E36" s="28"/>
    </row>
    <row r="37" spans="1:5" ht="16.5" x14ac:dyDescent="0.25">
      <c r="A37" s="28"/>
      <c r="B37" s="28"/>
      <c r="C37" s="28"/>
      <c r="D37" s="28"/>
      <c r="E37" s="28"/>
    </row>
    <row r="38" spans="1:5" ht="16.5" x14ac:dyDescent="0.25">
      <c r="A38" s="28"/>
      <c r="B38" s="28"/>
      <c r="C38" s="28"/>
      <c r="D38" s="28"/>
      <c r="E38" s="28"/>
    </row>
    <row r="39" spans="1:5" ht="16.5" x14ac:dyDescent="0.25">
      <c r="A39" s="28"/>
      <c r="B39" s="28"/>
      <c r="C39" s="28"/>
      <c r="D39" s="28"/>
      <c r="E39" s="28"/>
    </row>
  </sheetData>
  <mergeCells count="22">
    <mergeCell ref="A26:E26"/>
    <mergeCell ref="A15:E15"/>
    <mergeCell ref="C9:E9"/>
    <mergeCell ref="A22:E23"/>
    <mergeCell ref="A16:E16"/>
    <mergeCell ref="A25:E25"/>
    <mergeCell ref="A1:E2"/>
    <mergeCell ref="A14:E14"/>
    <mergeCell ref="A17:E17"/>
    <mergeCell ref="C6:E6"/>
    <mergeCell ref="A29:E29"/>
    <mergeCell ref="A20:E20"/>
    <mergeCell ref="C5:E5"/>
    <mergeCell ref="A28:E28"/>
    <mergeCell ref="A13:E13"/>
    <mergeCell ref="C10:E10"/>
    <mergeCell ref="C8:E8"/>
    <mergeCell ref="C7:E7"/>
    <mergeCell ref="A18:E18"/>
    <mergeCell ref="A27:E27"/>
    <mergeCell ref="A21:E21"/>
    <mergeCell ref="A12:E12"/>
  </mergeCells>
  <dataValidations count="3">
    <dataValidation type="decimal" showInputMessage="1" showErrorMessage="1" errorTitle="Confira o valor informado" error="Fração do salário entre 0% e 100%." promptTitle="Como preencher" prompt="Fração do salário entre 0% e 100%." sqref="B5" xr:uid="{00000000-0002-0000-0200-000000000000}">
      <formula1>0</formula1>
      <formula2>1</formula2>
    </dataValidation>
    <dataValidation type="decimal" showInputMessage="1" showErrorMessage="1" errorTitle="Confira o valor informado" error="Capital inicial de zero a R$ 100 milhões." promptTitle="Como preencher" prompt="Capital inicial de zero a R$ 100 milhões." sqref="B7" xr:uid="{00000000-0002-0000-0200-000001000000}">
      <formula1>0</formula1>
      <formula2>100000000</formula2>
    </dataValidation>
    <dataValidation type="whole" showInputMessage="1" showErrorMessage="1" errorTitle="Confira o valor informado" error="Use 0 para fim do mês ou 1 para início do mês." promptTitle="Como preencher" prompt="Use 0 para fim do mês ou 1 para início do mês." sqref="B8" xr:uid="{00000000-0002-0000-0200-000002000000}">
      <formula1>0</formula1>
      <formula2>1</formula2>
    </dataValidation>
  </dataValidations>
  <printOptions horizontalCentered="1"/>
  <pageMargins left="0.3" right="0.3" top="0.35" bottom="0.35" header="0.5" footer="0.5"/>
  <pageSetup paperSize="9" orientation="portrait"/>
  <headerFooter>
    <oddFooter>&amp;C&amp;8 Simulador de FIIs | Desafio DIO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8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3" customWidth="1"/>
    <col min="2" max="4" width="20" customWidth="1"/>
    <col min="5" max="6" width="15" customWidth="1"/>
  </cols>
  <sheetData>
    <row r="1" spans="1:6" ht="29.1" customHeight="1" x14ac:dyDescent="0.25">
      <c r="A1" s="70" t="s">
        <v>73</v>
      </c>
      <c r="B1" s="54"/>
      <c r="C1" s="54"/>
      <c r="D1" s="54"/>
      <c r="E1" s="54"/>
      <c r="F1" s="54"/>
    </row>
    <row r="2" spans="1:6" ht="16.5" x14ac:dyDescent="0.25">
      <c r="A2" s="28"/>
      <c r="B2" s="28"/>
      <c r="C2" s="28"/>
      <c r="D2" s="28"/>
      <c r="E2" s="28"/>
      <c r="F2" s="28"/>
    </row>
    <row r="3" spans="1:6" ht="20.25" x14ac:dyDescent="0.25">
      <c r="A3" s="28" t="s">
        <v>74</v>
      </c>
      <c r="B3" s="33" t="str">
        <f>IF(COUNTIF(F6:F20,"REVISAR")=0,"OK","REVISAR")</f>
        <v>OK</v>
      </c>
      <c r="C3" s="28"/>
      <c r="D3" s="28"/>
      <c r="E3" s="28"/>
      <c r="F3" s="28"/>
    </row>
    <row r="4" spans="1:6" ht="16.5" x14ac:dyDescent="0.25">
      <c r="A4" s="28"/>
      <c r="B4" s="28"/>
      <c r="C4" s="28"/>
      <c r="D4" s="28"/>
      <c r="E4" s="28"/>
      <c r="F4" s="28"/>
    </row>
    <row r="5" spans="1:6" ht="16.5" x14ac:dyDescent="0.25">
      <c r="A5" s="34" t="s">
        <v>75</v>
      </c>
      <c r="B5" s="34" t="s">
        <v>76</v>
      </c>
      <c r="C5" s="34" t="s">
        <v>77</v>
      </c>
      <c r="D5" s="34" t="s">
        <v>78</v>
      </c>
      <c r="E5" s="34" t="s">
        <v>79</v>
      </c>
      <c r="F5" s="34" t="s">
        <v>80</v>
      </c>
    </row>
    <row r="6" spans="1:6" ht="30" customHeight="1" x14ac:dyDescent="0.25">
      <c r="A6" s="35" t="s">
        <v>81</v>
      </c>
      <c r="B6" s="36">
        <f>Perfis!C25</f>
        <v>1</v>
      </c>
      <c r="C6" s="37">
        <f>1</f>
        <v>1</v>
      </c>
      <c r="D6" s="37">
        <f t="shared" ref="D6:D20" si="0">B6-C6</f>
        <v>0</v>
      </c>
      <c r="E6" s="38">
        <v>1E-8</v>
      </c>
      <c r="F6" s="39" t="str">
        <f t="shared" ref="F6:F20" si="1">IFERROR(IF(ABS(D6)&lt;=E6,"OK","REVISAR"),"REVISAR")</f>
        <v>OK</v>
      </c>
    </row>
    <row r="7" spans="1:6" ht="30" customHeight="1" x14ac:dyDescent="0.25">
      <c r="A7" s="28" t="s">
        <v>82</v>
      </c>
      <c r="B7" s="40">
        <f>Perfis!C26</f>
        <v>0.99999999999999989</v>
      </c>
      <c r="C7" s="41">
        <f>1</f>
        <v>1</v>
      </c>
      <c r="D7" s="41">
        <f t="shared" si="0"/>
        <v>0</v>
      </c>
      <c r="E7" s="42">
        <v>1E-8</v>
      </c>
      <c r="F7" s="43" t="str">
        <f t="shared" si="1"/>
        <v>OK</v>
      </c>
    </row>
    <row r="8" spans="1:6" ht="30" customHeight="1" x14ac:dyDescent="0.25">
      <c r="A8" s="35" t="s">
        <v>83</v>
      </c>
      <c r="B8" s="36">
        <f>Perfis!C27</f>
        <v>1.0000000000000002</v>
      </c>
      <c r="C8" s="37">
        <f>1</f>
        <v>1</v>
      </c>
      <c r="D8" s="37">
        <f t="shared" si="0"/>
        <v>0</v>
      </c>
      <c r="E8" s="38">
        <v>1E-8</v>
      </c>
      <c r="F8" s="39" t="str">
        <f t="shared" si="1"/>
        <v>OK</v>
      </c>
    </row>
    <row r="9" spans="1:6" ht="30" customHeight="1" x14ac:dyDescent="0.25">
      <c r="A9" s="28" t="s">
        <v>84</v>
      </c>
      <c r="B9" s="40">
        <f>Simulador!C42</f>
        <v>0.99999999999999989</v>
      </c>
      <c r="C9" s="41">
        <f>1</f>
        <v>1</v>
      </c>
      <c r="D9" s="41">
        <f t="shared" si="0"/>
        <v>0</v>
      </c>
      <c r="E9" s="42">
        <v>1E-8</v>
      </c>
      <c r="F9" s="43" t="str">
        <f t="shared" si="1"/>
        <v>OK</v>
      </c>
    </row>
    <row r="10" spans="1:6" ht="30" customHeight="1" x14ac:dyDescent="0.25">
      <c r="A10" s="35" t="s">
        <v>85</v>
      </c>
      <c r="B10" s="44">
        <f>Simulador!D42</f>
        <v>200</v>
      </c>
      <c r="C10" s="10">
        <f>aporte</f>
        <v>200</v>
      </c>
      <c r="D10" s="10">
        <f t="shared" si="0"/>
        <v>0</v>
      </c>
      <c r="E10" s="45">
        <f>tolerancia</f>
        <v>0.01</v>
      </c>
      <c r="F10" s="39" t="str">
        <f t="shared" si="1"/>
        <v>OK</v>
      </c>
    </row>
    <row r="11" spans="1:6" ht="30" customHeight="1" x14ac:dyDescent="0.25">
      <c r="A11" s="28" t="s">
        <v>86</v>
      </c>
      <c r="B11" s="46">
        <f>patrimonio</f>
        <v>16755.382799697527</v>
      </c>
      <c r="C11" s="46">
        <f>IF(taxa_mensal=0,capital_inicial+aporte*qtd_anos*meses_ano,capital_inicial*(1+taxa_mensal)^(qtd_anos*meses_ano)+aporte*((1+taxa_mensal)^(qtd_anos*meses_ano)-1)/taxa_mensal*(1+taxa_mensal*momento_aporte))</f>
        <v>16755.382799697531</v>
      </c>
      <c r="D11" s="46">
        <f t="shared" si="0"/>
        <v>0</v>
      </c>
      <c r="E11" s="47">
        <f>tolerancia</f>
        <v>0.01</v>
      </c>
      <c r="F11" s="43" t="str">
        <f t="shared" si="1"/>
        <v>OK</v>
      </c>
    </row>
    <row r="12" spans="1:6" ht="30" customHeight="1" x14ac:dyDescent="0.25">
      <c r="A12" s="35" t="s">
        <v>87</v>
      </c>
      <c r="B12" s="44">
        <f>Simulador!D29</f>
        <v>12000</v>
      </c>
      <c r="C12" s="10">
        <f>capital_inicial+aporte*qtd_anos*meses_ano</f>
        <v>12000</v>
      </c>
      <c r="D12" s="10">
        <f t="shared" si="0"/>
        <v>0</v>
      </c>
      <c r="E12" s="45">
        <f>tolerancia</f>
        <v>0.01</v>
      </c>
      <c r="F12" s="39" t="str">
        <f t="shared" si="1"/>
        <v>OK</v>
      </c>
    </row>
    <row r="13" spans="1:6" ht="30" customHeight="1" x14ac:dyDescent="0.25">
      <c r="A13" s="28" t="s">
        <v>88</v>
      </c>
      <c r="B13" s="46">
        <f>patrimonio</f>
        <v>16755.382799697527</v>
      </c>
      <c r="C13" s="48">
        <f>SUM(Simulador!D29:D30)</f>
        <v>16755.382799697527</v>
      </c>
      <c r="D13" s="46">
        <f t="shared" si="0"/>
        <v>0</v>
      </c>
      <c r="E13" s="47">
        <f>tolerancia</f>
        <v>0.01</v>
      </c>
      <c r="F13" s="43" t="str">
        <f t="shared" si="1"/>
        <v>OK</v>
      </c>
    </row>
    <row r="14" spans="1:6" ht="30" customHeight="1" x14ac:dyDescent="0.25">
      <c r="A14" s="35" t="s">
        <v>89</v>
      </c>
      <c r="B14" s="44">
        <f>Simulador!D21</f>
        <v>100.53229679818516</v>
      </c>
      <c r="C14" s="10">
        <f>patrimonio*rendimento_carteira</f>
        <v>100.53229679818516</v>
      </c>
      <c r="D14" s="10">
        <f t="shared" si="0"/>
        <v>0</v>
      </c>
      <c r="E14" s="45">
        <f>tolerancia</f>
        <v>0.01</v>
      </c>
      <c r="F14" s="39" t="str">
        <f t="shared" si="1"/>
        <v>OK</v>
      </c>
    </row>
    <row r="15" spans="1:6" ht="30" customHeight="1" x14ac:dyDescent="0.25">
      <c r="A15" s="28" t="s">
        <v>90</v>
      </c>
      <c r="B15" s="49">
        <f>COUNT(Simulador!D12:D13,Simulador!D17:D19,Ajustes!B5:B10)</f>
        <v>11</v>
      </c>
      <c r="C15" s="50">
        <f>11</f>
        <v>11</v>
      </c>
      <c r="D15" s="50">
        <f t="shared" si="0"/>
        <v>0</v>
      </c>
      <c r="E15" s="47">
        <f>0</f>
        <v>0</v>
      </c>
      <c r="F15" s="43" t="str">
        <f t="shared" si="1"/>
        <v>OK</v>
      </c>
    </row>
    <row r="16" spans="1:6" ht="30" customHeight="1" x14ac:dyDescent="0.25">
      <c r="A16" s="35" t="s">
        <v>91</v>
      </c>
      <c r="B16" s="51">
        <f>COUNTIF(perfis,Simulador!C32)</f>
        <v>1</v>
      </c>
      <c r="C16" s="52">
        <f>1</f>
        <v>1</v>
      </c>
      <c r="D16" s="52">
        <f t="shared" si="0"/>
        <v>0</v>
      </c>
      <c r="E16" s="45">
        <f>0</f>
        <v>0</v>
      </c>
      <c r="F16" s="39" t="str">
        <f t="shared" si="1"/>
        <v>OK</v>
      </c>
    </row>
    <row r="17" spans="1:6" ht="30" customHeight="1" x14ac:dyDescent="0.25">
      <c r="A17" s="28" t="s">
        <v>92</v>
      </c>
      <c r="B17" s="50">
        <f>IF(AND(qtd_anos&gt;=0,qtd_anos&lt;=limite_anos,MOD(qtd_anos,1)=0,limite_anos&lt;=50,limite_anos&gt;=0),1,0)</f>
        <v>1</v>
      </c>
      <c r="C17" s="50">
        <f>1</f>
        <v>1</v>
      </c>
      <c r="D17" s="50">
        <f t="shared" si="0"/>
        <v>0</v>
      </c>
      <c r="E17" s="47">
        <f>0</f>
        <v>0</v>
      </c>
      <c r="F17" s="43" t="str">
        <f t="shared" si="1"/>
        <v>OK</v>
      </c>
    </row>
    <row r="18" spans="1:6" ht="30" customHeight="1" x14ac:dyDescent="0.25">
      <c r="A18" s="35" t="s">
        <v>93</v>
      </c>
      <c r="B18" s="52">
        <f>IF(AND(taxa_mensal&gt;=-0.99,taxa_mensal&lt;=1,rendimento_carteira&gt;=0,rendimento_carteira&lt;=1),1,0)</f>
        <v>1</v>
      </c>
      <c r="C18" s="52">
        <f>1</f>
        <v>1</v>
      </c>
      <c r="D18" s="52">
        <f t="shared" si="0"/>
        <v>0</v>
      </c>
      <c r="E18" s="45">
        <f>0</f>
        <v>0</v>
      </c>
      <c r="F18" s="39" t="str">
        <f t="shared" si="1"/>
        <v>OK</v>
      </c>
    </row>
    <row r="19" spans="1:6" ht="30" customHeight="1" x14ac:dyDescent="0.25">
      <c r="A19" s="28" t="s">
        <v>94</v>
      </c>
      <c r="B19" s="50">
        <f>IF(AND(salario&gt;=0,salario&lt;=100000000,aporte&gt;=0,aporte&lt;=1000000,capital_inicial&gt;=0,capital_inicial&lt;=100000000,percentual_sugerido&gt;=0,percentual_sugerido&lt;=1,meses_ano=12,OR(momento_aporte=0,momento_aporte=1),tolerancia=0.01),1,0)</f>
        <v>1</v>
      </c>
      <c r="C19" s="50">
        <f>1</f>
        <v>1</v>
      </c>
      <c r="D19" s="50">
        <f t="shared" si="0"/>
        <v>0</v>
      </c>
      <c r="E19" s="47">
        <f>0</f>
        <v>0</v>
      </c>
      <c r="F19" s="43" t="str">
        <f t="shared" si="1"/>
        <v>OK</v>
      </c>
    </row>
    <row r="20" spans="1:6" ht="30" customHeight="1" x14ac:dyDescent="0.25">
      <c r="A20" s="35" t="s">
        <v>95</v>
      </c>
      <c r="B20" s="51">
        <f>IF(AND(COUNT(Perfis!D3:D20)=18,MIN(Perfis!D3:D20)&gt;=0,MAX(Perfis!D3:D20)&lt;=1),1,0)</f>
        <v>1</v>
      </c>
      <c r="C20" s="52">
        <f>1</f>
        <v>1</v>
      </c>
      <c r="D20" s="52">
        <f t="shared" si="0"/>
        <v>0</v>
      </c>
      <c r="E20" s="45">
        <f>0</f>
        <v>0</v>
      </c>
      <c r="F20" s="39" t="str">
        <f t="shared" si="1"/>
        <v>OK</v>
      </c>
    </row>
    <row r="21" spans="1:6" ht="16.5" x14ac:dyDescent="0.25">
      <c r="A21" s="28"/>
      <c r="B21" s="28"/>
      <c r="C21" s="28"/>
      <c r="D21" s="28"/>
      <c r="E21" s="28"/>
      <c r="F21" s="28"/>
    </row>
    <row r="22" spans="1:6" ht="16.5" x14ac:dyDescent="0.25">
      <c r="A22" s="28"/>
      <c r="B22" s="28"/>
      <c r="C22" s="28"/>
      <c r="D22" s="28"/>
      <c r="E22" s="28"/>
      <c r="F22" s="28"/>
    </row>
    <row r="23" spans="1:6" ht="24" customHeight="1" x14ac:dyDescent="0.25">
      <c r="A23" s="71" t="s">
        <v>96</v>
      </c>
      <c r="B23" s="62"/>
      <c r="C23" s="62"/>
      <c r="D23" s="62"/>
      <c r="E23" s="62"/>
      <c r="F23" s="62"/>
    </row>
    <row r="24" spans="1:6" ht="24" customHeight="1" x14ac:dyDescent="0.25">
      <c r="A24" s="62"/>
      <c r="B24" s="62"/>
      <c r="C24" s="62"/>
      <c r="D24" s="62"/>
      <c r="E24" s="62"/>
      <c r="F24" s="62"/>
    </row>
    <row r="25" spans="1:6" ht="16.5" x14ac:dyDescent="0.25">
      <c r="A25" s="28"/>
      <c r="B25" s="28"/>
      <c r="C25" s="28"/>
      <c r="D25" s="28"/>
      <c r="E25" s="28"/>
      <c r="F25" s="28"/>
    </row>
    <row r="26" spans="1:6" ht="16.5" x14ac:dyDescent="0.25">
      <c r="A26" s="28"/>
      <c r="B26" s="28"/>
      <c r="C26" s="28"/>
      <c r="D26" s="28"/>
      <c r="E26" s="28"/>
      <c r="F26" s="28"/>
    </row>
    <row r="27" spans="1:6" ht="16.5" x14ac:dyDescent="0.25">
      <c r="A27" s="28"/>
      <c r="B27" s="28"/>
      <c r="C27" s="28"/>
      <c r="D27" s="28"/>
      <c r="E27" s="28"/>
      <c r="F27" s="28"/>
    </row>
    <row r="28" spans="1:6" ht="16.5" x14ac:dyDescent="0.25">
      <c r="A28" s="28"/>
      <c r="B28" s="28"/>
      <c r="C28" s="28"/>
      <c r="D28" s="28"/>
      <c r="E28" s="28"/>
      <c r="F28" s="28"/>
    </row>
  </sheetData>
  <mergeCells count="2">
    <mergeCell ref="A23:F24"/>
    <mergeCell ref="A1:F1"/>
  </mergeCells>
  <conditionalFormatting sqref="B3">
    <cfRule type="cellIs" dxfId="3" priority="1" operator="equal">
      <formula>"OK"</formula>
    </cfRule>
    <cfRule type="cellIs" dxfId="2" priority="2" operator="equal">
      <formula>"REVISAR"</formula>
    </cfRule>
  </conditionalFormatting>
  <conditionalFormatting sqref="F6:F20">
    <cfRule type="cellIs" dxfId="1" priority="3" operator="equal">
      <formula>"OK"</formula>
    </cfRule>
    <cfRule type="cellIs" dxfId="0" priority="4" operator="equal">
      <formula>"REVISAR"</formula>
    </cfRule>
  </conditionalFormatting>
  <printOptions horizontalCentered="1"/>
  <pageMargins left="0.3" right="0.3" top="0.35" bottom="0.35" header="0.5" footer="0.5"/>
  <pageSetup paperSize="9" orientation="landscape"/>
  <headerFooter>
    <oddFooter>&amp;C&amp;8 Simulador de FIIs | Desafio DIO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18</vt:i4>
      </vt:variant>
    </vt:vector>
  </HeadingPairs>
  <TitlesOfParts>
    <vt:vector size="22" baseType="lpstr">
      <vt:lpstr>Simulador</vt:lpstr>
      <vt:lpstr>Perfis</vt:lpstr>
      <vt:lpstr>Ajustes</vt:lpstr>
      <vt:lpstr>Conferências</vt:lpstr>
      <vt:lpstr>aporte</vt:lpstr>
      <vt:lpstr>Ajustes!Area_de_impressao</vt:lpstr>
      <vt:lpstr>Conferências!Area_de_impressao</vt:lpstr>
      <vt:lpstr>Perfis!Area_de_impressao</vt:lpstr>
      <vt:lpstr>Simulador!Area_de_impressao</vt:lpstr>
      <vt:lpstr>capital_inicial</vt:lpstr>
      <vt:lpstr>limite_anos</vt:lpstr>
      <vt:lpstr>meses_ano</vt:lpstr>
      <vt:lpstr>momento_aporte</vt:lpstr>
      <vt:lpstr>patrimonio</vt:lpstr>
      <vt:lpstr>percentual_sugerido</vt:lpstr>
      <vt:lpstr>perfis</vt:lpstr>
      <vt:lpstr>qtd_anos</vt:lpstr>
      <vt:lpstr>rendimento_carteira</vt:lpstr>
      <vt:lpstr>salario</vt:lpstr>
      <vt:lpstr>sugestao_investimento</vt:lpstr>
      <vt:lpstr>taxa_mensal</vt:lpstr>
      <vt:lpstr>tolerancia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de Investimentos em Fundos Imobiliários</dc:title>
  <dc:subject>Desafio DIO - simulação de investimentos no Excel</dc:subject>
  <dc:creator>Projeto de simulação de FIIs</dc:creator>
  <dc:description>Simulação de aportes, patrimônio e dividendos para o desafio de Excel da DIO.</dc:description>
  <cp:lastModifiedBy>jose Develop</cp:lastModifiedBy>
  <dcterms:created xsi:type="dcterms:W3CDTF">2026-09-08T02:36:41Z</dcterms:created>
  <dcterms:modified xsi:type="dcterms:W3CDTF">2026-09-13T15:16:26Z</dcterms:modified>
</cp:coreProperties>
</file>